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A 2026\Publikasi\Submit GB\5 - Live Coding - EJEL\Cogent Education\"/>
    </mc:Choice>
  </mc:AlternateContent>
  <xr:revisionPtr revIDLastSave="0" documentId="8_{D61093AD-F2B8-4FAE-8FD5-0AF76AF487A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w_Data" sheetId="1" r:id="rId1"/>
    <sheet name="Pivot_By_Sex" sheetId="2" r:id="rId2"/>
    <sheet name="Access_Time_Summary" sheetId="3" r:id="rId3"/>
    <sheet name="Assessment_Statist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3" l="1" a="1"/>
  <c r="B4" i="3" s="1"/>
  <c r="B3" i="3" a="1"/>
  <c r="B3" i="3" s="1"/>
  <c r="B2" i="3" a="1"/>
  <c r="B2" i="3" s="1"/>
  <c r="G4" i="2"/>
  <c r="D3" i="4"/>
  <c r="D2" i="4"/>
  <c r="G5" i="2"/>
  <c r="F5" i="2"/>
  <c r="F4" i="2"/>
  <c r="E5" i="2"/>
  <c r="E4" i="2"/>
  <c r="D5" i="2"/>
  <c r="D4" i="2"/>
  <c r="C5" i="2"/>
  <c r="C4" i="2"/>
  <c r="B5" i="2"/>
  <c r="B4" i="2"/>
  <c r="C3" i="4"/>
  <c r="B3" i="4"/>
  <c r="C2" i="4"/>
  <c r="B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<sst xmlns="http://schemas.openxmlformats.org/spreadsheetml/2006/main" count="321" uniqueCount="119">
  <si>
    <t>Student_ID</t>
  </si>
  <si>
    <t>Sex</t>
  </si>
  <si>
    <t>Pre_Test</t>
  </si>
  <si>
    <t>Post_Test</t>
  </si>
  <si>
    <t>Access_Time_Category</t>
  </si>
  <si>
    <t>S01</t>
  </si>
  <si>
    <t>F</t>
  </si>
  <si>
    <t>&gt; 4 hours</t>
  </si>
  <si>
    <t>S02</t>
  </si>
  <si>
    <t>M</t>
  </si>
  <si>
    <t>&lt; 2 hours</t>
  </si>
  <si>
    <t>S03</t>
  </si>
  <si>
    <t>2–4 hours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</si>
  <si>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</si>
  <si>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</si>
  <si>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</si>
  <si>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</si>
  <si>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</si>
  <si>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</si>
  <si>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</si>
  <si>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</si>
  <si>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</si>
  <si>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</si>
  <si>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</si>
  <si>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</si>
  <si>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</si>
  <si>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</si>
  <si>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</si>
  <si>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</si>
  <si>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</si>
  <si>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</si>
  <si>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</si>
  <si>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</si>
  <si>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</si>
  <si>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</si>
  <si>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</si>
  <si>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</si>
  <si>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</si>
  <si>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</si>
  <si>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</si>
  <si>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</si>
  <si>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</si>
  <si>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</si>
  <si>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</si>
  <si>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</si>
  <si>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</si>
  <si>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</si>
  <si>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</si>
  <si>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</si>
  <si>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</si>
  <si>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</si>
  <si>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</si>
  <si>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</si>
  <si>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</si>
  <si>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</si>
  <si>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</si>
  <si>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</si>
  <si>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</si>
  <si>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</si>
  <si>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</si>
  <si>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</si>
  <si>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</si>
  <si>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</si>
  <si>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</si>
  <si>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</si>
  <si>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</si>
  <si>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</si>
  <si>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</si>
  <si>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</si>
  <si>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</si>
  <si>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</si>
  <si>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</si>
  <si>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</si>
  <si>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</si>
  <si>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</si>
  <si>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</si>
  <si>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</si>
  <si>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</si>
  <si>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</si>
  <si>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</si>
  <si>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</si>
  <si>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</si>
  <si>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</si>
  <si>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</si>
  <si>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</si>
  <si>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</si>
  <si>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</si>
  <si>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</si>
  <si>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</si>
  <si>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</si>
  <si>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</si>
  <si>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</si>
  <si>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</si>
  <si>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</si>
  <si>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</si>
  <si>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</si>
  <si>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</si>
  <si>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</si>
  <si>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</si>
  <si>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</si>
  <si>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</si>
  <si>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</si>
  <si>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</si>
  <si>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</si>
  <si>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</si>
  <si>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</si>
  <si>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</si>
  <si>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count</t>
  </si>
  <si>
    <t>mean</t>
  </si>
  <si>
    <t>std</t>
  </si>
  <si>
    <t>Number_of_Students</t>
  </si>
  <si>
    <t>Assessment</t>
  </si>
  <si>
    <t>n</t>
  </si>
  <si>
    <t>Mean</t>
  </si>
  <si>
    <t>SD</t>
  </si>
  <si>
    <t>Pretest</t>
  </si>
  <si>
    <t>Posttest</t>
  </si>
  <si>
    <t>All student identifiers were pseudonymized prior to analysis. The Student_ID variable represents anonymized codes and does not contain personally identifiable information.</t>
  </si>
  <si>
    <t>Penjelasan dilengkapi lampiran yang sangat lengkap, sahih, dan dapat ditelusuri melalui tautan; termasuk data pendukung yang dicantumkan dalam LKPS.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</si>
</sst>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activeCell="E105" sqref="E105"/>
    </sheetView>
  </sheetViews>
  <sheetFormatPr defaultColWidth="8.77734375" defaultRowHeight="14.4" x14ac:dyDescent="0.3"/>
  <cols>
    <col min="1" max="1" width="10.44140625" bestFit="1" customWidth="1"/>
    <col min="5" max="5" width="20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 x14ac:dyDescent="0.3">
      <c r="A2" t="s">
        <v>5</v>
      </c>
      <c r="B2" t="s">
        <v>6</v>
      </c>
      <c r="C2">
        <v>69</v>
      </c>
      <c r="D2">
        <v>94</v>
      </c>
      <c r="E2" t="s">
        <v>7</v>
      </c>
    </row>
    <row r="3" spans="1:5" x14ac:dyDescent="0.3">
      <c r="A3" t="s">
        <v>17</v>
      </c>
      <c r="B3" t="s">
        <v>6</v>
      </c>
      <c r="C3">
        <v>71.099999999999994</v>
      </c>
      <c r="D3">
        <v>71.7</v>
      </c>
      <c r="E3" t="s">
        <v>12</v>
      </c>
    </row>
    <row r="4" spans="1:5" x14ac:dyDescent="0.3">
      <c r="A4" t="s">
        <v>21</v>
      </c>
      <c r="B4" t="s">
        <v>6</v>
      </c>
      <c r="C4">
        <v>61.3</v>
      </c>
      <c r="D4">
        <v>80.2</v>
      </c>
      <c r="E4" t="s">
        <v>10</v>
      </c>
    </row>
    <row r="5" spans="1:5" x14ac:dyDescent="0.3">
      <c r="A5" t="s">
        <v>29</v>
      </c>
      <c r="B5" t="s">
        <v>6</v>
      </c>
      <c r="C5">
        <v>53.7</v>
      </c>
      <c r="D5">
        <v>83.3</v>
      </c>
      <c r="E5" t="s">
        <v>12</v>
      </c>
    </row>
    <row r="6" spans="1:5" x14ac:dyDescent="0.3">
      <c r="A6" t="s">
        <v>37</v>
      </c>
      <c r="B6" t="s">
        <v>6</v>
      </c>
      <c r="C6">
        <v>68</v>
      </c>
      <c r="D6">
        <v>83.3</v>
      </c>
      <c r="E6" t="s">
        <v>10</v>
      </c>
    </row>
    <row r="7" spans="1:5" x14ac:dyDescent="0.3">
      <c r="A7" t="s">
        <v>40</v>
      </c>
      <c r="B7" t="s">
        <v>6</v>
      </c>
      <c r="C7">
        <v>60.2</v>
      </c>
      <c r="D7">
        <v>79.7</v>
      </c>
      <c r="E7" t="s">
        <v>12</v>
      </c>
    </row>
    <row r="8" spans="1:5" x14ac:dyDescent="0.3">
      <c r="A8" t="s">
        <v>41</v>
      </c>
      <c r="B8" t="s">
        <v>6</v>
      </c>
      <c r="C8">
        <v>64.86</v>
      </c>
      <c r="D8">
        <v>82.03</v>
      </c>
      <c r="E8" t="s">
        <v>10</v>
      </c>
    </row>
    <row r="9" spans="1:5" x14ac:dyDescent="0.3">
      <c r="A9" t="s">
        <v>43</v>
      </c>
      <c r="B9" t="s">
        <v>6</v>
      </c>
      <c r="C9">
        <v>62.14</v>
      </c>
      <c r="D9">
        <v>77.48</v>
      </c>
      <c r="E9" t="s">
        <v>12</v>
      </c>
    </row>
    <row r="10" spans="1:5" x14ac:dyDescent="0.3">
      <c r="A10" t="s">
        <v>55</v>
      </c>
      <c r="B10" t="s">
        <v>6</v>
      </c>
      <c r="C10">
        <v>73.44</v>
      </c>
      <c r="D10">
        <v>84.74</v>
      </c>
      <c r="E10" t="s">
        <v>12</v>
      </c>
    </row>
    <row r="11" spans="1:5" x14ac:dyDescent="0.3">
      <c r="A11" t="s">
        <v>57</v>
      </c>
      <c r="B11" t="s">
        <v>6</v>
      </c>
      <c r="C11">
        <v>49.2</v>
      </c>
      <c r="D11">
        <v>89.08</v>
      </c>
      <c r="E11" t="s">
        <v>12</v>
      </c>
    </row>
    <row r="12" spans="1:5" x14ac:dyDescent="0.3">
      <c r="A12" t="s">
        <v>59</v>
      </c>
      <c r="B12" t="s">
        <v>6</v>
      </c>
      <c r="C12">
        <v>73.739999999999995</v>
      </c>
      <c r="D12">
        <v>94.94</v>
      </c>
      <c r="E12" t="s">
        <v>12</v>
      </c>
    </row>
    <row r="13" spans="1:5" x14ac:dyDescent="0.3">
      <c r="A13" t="s">
        <v>67</v>
      </c>
      <c r="B13" t="s">
        <v>6</v>
      </c>
      <c r="C13">
        <v>53.45</v>
      </c>
      <c r="D13">
        <v>68.900000000000006</v>
      </c>
      <c r="E13" t="s">
        <v>12</v>
      </c>
    </row>
    <row r="14" spans="1:5" x14ac:dyDescent="0.3">
      <c r="A14" t="s">
        <v>72</v>
      </c>
      <c r="B14" t="s">
        <v>6</v>
      </c>
      <c r="C14">
        <v>65.59</v>
      </c>
      <c r="D14">
        <v>85.2</v>
      </c>
      <c r="E14" t="s">
        <v>12</v>
      </c>
    </row>
    <row r="15" spans="1:5" x14ac:dyDescent="0.3">
      <c r="A15" t="s">
        <v>74</v>
      </c>
      <c r="B15" t="s">
        <v>6</v>
      </c>
      <c r="C15">
        <v>62.36</v>
      </c>
      <c r="D15">
        <v>83.99</v>
      </c>
      <c r="E15" t="s">
        <v>10</v>
      </c>
    </row>
    <row r="16" spans="1:5" x14ac:dyDescent="0.3">
      <c r="A16" t="s">
        <v>76</v>
      </c>
      <c r="B16" t="s">
        <v>6</v>
      </c>
      <c r="C16">
        <v>71.599999999999994</v>
      </c>
      <c r="D16">
        <v>89.65</v>
      </c>
      <c r="E16" t="s">
        <v>10</v>
      </c>
    </row>
    <row r="17" spans="1:5" x14ac:dyDescent="0.3">
      <c r="A17" t="s">
        <v>77</v>
      </c>
      <c r="B17" t="s">
        <v>6</v>
      </c>
      <c r="C17">
        <v>71.010000000000005</v>
      </c>
      <c r="D17">
        <v>69.83</v>
      </c>
      <c r="E17" t="s">
        <v>10</v>
      </c>
    </row>
    <row r="18" spans="1:5" x14ac:dyDescent="0.3">
      <c r="A18" t="s">
        <v>89</v>
      </c>
      <c r="B18" t="s">
        <v>6</v>
      </c>
      <c r="C18">
        <v>62.64</v>
      </c>
      <c r="D18">
        <v>68.75</v>
      </c>
      <c r="E18" t="s">
        <v>7</v>
      </c>
    </row>
    <row r="19" spans="1:5" x14ac:dyDescent="0.3">
      <c r="A19" t="s">
        <v>90</v>
      </c>
      <c r="B19" t="s">
        <v>6</v>
      </c>
      <c r="C19">
        <v>67.599999999999994</v>
      </c>
      <c r="D19">
        <v>95.04</v>
      </c>
      <c r="E19" t="s">
        <v>12</v>
      </c>
    </row>
    <row r="20" spans="1:5" x14ac:dyDescent="0.3">
      <c r="A20" t="s">
        <v>91</v>
      </c>
      <c r="B20" t="s">
        <v>6</v>
      </c>
      <c r="C20">
        <v>58.37</v>
      </c>
      <c r="D20">
        <v>68.430000000000007</v>
      </c>
      <c r="E20" t="s">
        <v>10</v>
      </c>
    </row>
    <row r="21" spans="1:5" x14ac:dyDescent="0.3">
      <c r="A21" t="s">
        <v>94</v>
      </c>
      <c r="B21" t="s">
        <v>6</v>
      </c>
      <c r="C21">
        <v>58.76</v>
      </c>
      <c r="D21">
        <v>78.61</v>
      </c>
      <c r="E21" t="s">
        <v>12</v>
      </c>
    </row>
    <row r="22" spans="1:5" x14ac:dyDescent="0.3">
      <c r="A22" t="s">
        <v>8</v>
      </c>
      <c r="B22" t="s">
        <v>9</v>
      </c>
      <c r="C22">
        <v>63.9</v>
      </c>
      <c r="D22">
        <v>80.900000000000006</v>
      </c>
      <c r="E22" t="s">
        <v>10</v>
      </c>
    </row>
    <row r="23" spans="1:5" x14ac:dyDescent="0.3">
      <c r="A23" t="s">
        <v>11</v>
      </c>
      <c r="B23" t="s">
        <v>9</v>
      </c>
      <c r="C23">
        <v>70.2</v>
      </c>
      <c r="D23">
        <v>73.599999999999994</v>
      </c>
      <c r="E23" t="s">
        <v>12</v>
      </c>
    </row>
    <row r="24" spans="1:5" x14ac:dyDescent="0.3">
      <c r="A24" t="s">
        <v>13</v>
      </c>
      <c r="B24" t="s">
        <v>9</v>
      </c>
      <c r="C24">
        <v>77.2</v>
      </c>
      <c r="D24">
        <v>86.8</v>
      </c>
      <c r="E24" t="s">
        <v>12</v>
      </c>
    </row>
    <row r="25" spans="1:5" x14ac:dyDescent="0.3">
      <c r="A25" t="s">
        <v>14</v>
      </c>
      <c r="B25" t="s">
        <v>9</v>
      </c>
      <c r="C25">
        <v>63.1</v>
      </c>
      <c r="D25">
        <v>72.5</v>
      </c>
      <c r="E25" t="s">
        <v>12</v>
      </c>
    </row>
    <row r="26" spans="1:5" x14ac:dyDescent="0.3">
      <c r="A26" t="s">
        <v>15</v>
      </c>
      <c r="B26" t="s">
        <v>9</v>
      </c>
      <c r="C26">
        <v>63.1</v>
      </c>
      <c r="D26">
        <v>82.5</v>
      </c>
      <c r="E26" t="s">
        <v>10</v>
      </c>
    </row>
    <row r="27" spans="1:5" x14ac:dyDescent="0.3">
      <c r="A27" t="s">
        <v>16</v>
      </c>
      <c r="B27" t="s">
        <v>9</v>
      </c>
      <c r="C27">
        <v>77.599999999999994</v>
      </c>
      <c r="D27">
        <v>67.3</v>
      </c>
      <c r="E27" t="s">
        <v>7</v>
      </c>
    </row>
    <row r="28" spans="1:5" x14ac:dyDescent="0.3">
      <c r="A28" t="s">
        <v>18</v>
      </c>
      <c r="B28" t="s">
        <v>9</v>
      </c>
      <c r="C28">
        <v>61.2</v>
      </c>
      <c r="D28">
        <v>82.4</v>
      </c>
      <c r="E28" t="s">
        <v>10</v>
      </c>
    </row>
    <row r="29" spans="1:5" x14ac:dyDescent="0.3">
      <c r="A29" t="s">
        <v>19</v>
      </c>
      <c r="B29" t="s">
        <v>9</v>
      </c>
      <c r="C29">
        <v>69.3</v>
      </c>
      <c r="D29">
        <v>86.2</v>
      </c>
      <c r="E29" t="s">
        <v>12</v>
      </c>
    </row>
    <row r="30" spans="1:5" x14ac:dyDescent="0.3">
      <c r="A30" t="s">
        <v>20</v>
      </c>
      <c r="B30" t="s">
        <v>9</v>
      </c>
      <c r="C30">
        <v>61.3</v>
      </c>
      <c r="D30">
        <v>82.2</v>
      </c>
      <c r="E30" t="s">
        <v>10</v>
      </c>
    </row>
    <row r="31" spans="1:5" x14ac:dyDescent="0.3">
      <c r="A31" t="s">
        <v>22</v>
      </c>
      <c r="B31" t="s">
        <v>9</v>
      </c>
      <c r="C31">
        <v>66.900000000000006</v>
      </c>
      <c r="D31">
        <v>78.900000000000006</v>
      </c>
      <c r="E31" t="s">
        <v>12</v>
      </c>
    </row>
    <row r="32" spans="1:5" x14ac:dyDescent="0.3">
      <c r="A32" t="s">
        <v>23</v>
      </c>
      <c r="B32" t="s">
        <v>9</v>
      </c>
      <c r="C32">
        <v>49.7</v>
      </c>
      <c r="D32">
        <v>70.7</v>
      </c>
      <c r="E32" t="s">
        <v>12</v>
      </c>
    </row>
    <row r="33" spans="1:5" x14ac:dyDescent="0.3">
      <c r="A33" t="s">
        <v>24</v>
      </c>
      <c r="B33" t="s">
        <v>9</v>
      </c>
      <c r="C33">
        <v>51.2</v>
      </c>
      <c r="D33">
        <v>76</v>
      </c>
      <c r="E33" t="s">
        <v>10</v>
      </c>
    </row>
    <row r="34" spans="1:5" x14ac:dyDescent="0.3">
      <c r="A34" t="s">
        <v>25</v>
      </c>
      <c r="B34" t="s">
        <v>9</v>
      </c>
      <c r="C34">
        <v>60.5</v>
      </c>
      <c r="D34">
        <v>77.8</v>
      </c>
      <c r="E34" t="s">
        <v>10</v>
      </c>
    </row>
    <row r="35" spans="1:5" x14ac:dyDescent="0.3">
      <c r="A35" t="s">
        <v>26</v>
      </c>
      <c r="B35" t="s">
        <v>9</v>
      </c>
      <c r="C35">
        <v>56.9</v>
      </c>
      <c r="D35">
        <v>88.4</v>
      </c>
      <c r="E35" t="s">
        <v>12</v>
      </c>
    </row>
    <row r="36" spans="1:5" x14ac:dyDescent="0.3">
      <c r="A36" t="s">
        <v>27</v>
      </c>
      <c r="B36" t="s">
        <v>9</v>
      </c>
      <c r="C36">
        <v>67.5</v>
      </c>
      <c r="D36">
        <v>83.4</v>
      </c>
      <c r="E36" t="s">
        <v>12</v>
      </c>
    </row>
    <row r="37" spans="1:5" x14ac:dyDescent="0.3">
      <c r="A37" t="s">
        <v>28</v>
      </c>
      <c r="B37" t="s">
        <v>9</v>
      </c>
      <c r="C37">
        <v>57.7</v>
      </c>
      <c r="D37">
        <v>68.7</v>
      </c>
      <c r="E37" t="s">
        <v>12</v>
      </c>
    </row>
    <row r="38" spans="1:5" x14ac:dyDescent="0.3">
      <c r="A38" t="s">
        <v>30</v>
      </c>
      <c r="B38" t="s">
        <v>9</v>
      </c>
      <c r="C38">
        <v>76.7</v>
      </c>
      <c r="D38">
        <v>78.3</v>
      </c>
      <c r="E38" t="s">
        <v>7</v>
      </c>
    </row>
    <row r="39" spans="1:5" x14ac:dyDescent="0.3">
      <c r="A39" t="s">
        <v>31</v>
      </c>
      <c r="B39" t="s">
        <v>9</v>
      </c>
      <c r="C39">
        <v>63.2</v>
      </c>
      <c r="D39">
        <v>76.3</v>
      </c>
      <c r="E39" t="s">
        <v>12</v>
      </c>
    </row>
    <row r="40" spans="1:5" x14ac:dyDescent="0.3">
      <c r="A40" t="s">
        <v>32</v>
      </c>
      <c r="B40" t="s">
        <v>9</v>
      </c>
      <c r="C40">
        <v>65.5</v>
      </c>
      <c r="D40">
        <v>85.3</v>
      </c>
      <c r="E40" t="s">
        <v>12</v>
      </c>
    </row>
    <row r="41" spans="1:5" x14ac:dyDescent="0.3">
      <c r="A41" t="s">
        <v>33</v>
      </c>
      <c r="B41" t="s">
        <v>9</v>
      </c>
      <c r="C41">
        <v>53.6</v>
      </c>
      <c r="D41">
        <v>88.2</v>
      </c>
      <c r="E41" t="s">
        <v>10</v>
      </c>
    </row>
    <row r="42" spans="1:5" x14ac:dyDescent="0.3">
      <c r="A42" t="s">
        <v>34</v>
      </c>
      <c r="B42" t="s">
        <v>9</v>
      </c>
      <c r="C42">
        <v>60.6</v>
      </c>
      <c r="D42">
        <v>87.5</v>
      </c>
      <c r="E42" t="s">
        <v>10</v>
      </c>
    </row>
    <row r="43" spans="1:5" x14ac:dyDescent="0.3">
      <c r="A43" t="s">
        <v>35</v>
      </c>
      <c r="B43" t="s">
        <v>9</v>
      </c>
      <c r="C43">
        <v>65.900000000000006</v>
      </c>
      <c r="D43">
        <v>75.099999999999994</v>
      </c>
      <c r="E43" t="s">
        <v>10</v>
      </c>
    </row>
    <row r="44" spans="1:5" x14ac:dyDescent="0.3">
      <c r="A44" t="s">
        <v>36</v>
      </c>
      <c r="B44" t="s">
        <v>9</v>
      </c>
      <c r="C44">
        <v>55.8</v>
      </c>
      <c r="D44">
        <v>78.8</v>
      </c>
      <c r="E44" t="s">
        <v>12</v>
      </c>
    </row>
    <row r="45" spans="1:5" x14ac:dyDescent="0.3">
      <c r="A45" t="s">
        <v>38</v>
      </c>
      <c r="B45" t="s">
        <v>9</v>
      </c>
      <c r="C45">
        <v>60.2</v>
      </c>
      <c r="D45">
        <v>87.8</v>
      </c>
      <c r="E45" t="s">
        <v>7</v>
      </c>
    </row>
    <row r="46" spans="1:5" x14ac:dyDescent="0.3">
      <c r="A46" t="s">
        <v>39</v>
      </c>
      <c r="B46" t="s">
        <v>9</v>
      </c>
      <c r="C46">
        <v>62.7</v>
      </c>
      <c r="D46">
        <v>77.599999999999994</v>
      </c>
      <c r="E46" t="s">
        <v>7</v>
      </c>
    </row>
    <row r="47" spans="1:5" x14ac:dyDescent="0.3">
      <c r="A47" t="s">
        <v>42</v>
      </c>
      <c r="B47" t="s">
        <v>9</v>
      </c>
      <c r="C47">
        <v>62.59</v>
      </c>
      <c r="D47">
        <v>77.55</v>
      </c>
      <c r="E47" t="s">
        <v>12</v>
      </c>
    </row>
    <row r="48" spans="1:5" x14ac:dyDescent="0.3">
      <c r="A48" t="s">
        <v>44</v>
      </c>
      <c r="B48" t="s">
        <v>9</v>
      </c>
      <c r="C48">
        <v>61.66</v>
      </c>
      <c r="D48">
        <v>75.58</v>
      </c>
      <c r="E48" t="s">
        <v>10</v>
      </c>
    </row>
    <row r="49" spans="1:5" x14ac:dyDescent="0.3">
      <c r="A49" t="s">
        <v>45</v>
      </c>
      <c r="B49" t="s">
        <v>9</v>
      </c>
      <c r="C49">
        <v>78.05</v>
      </c>
      <c r="D49">
        <v>78.39</v>
      </c>
      <c r="E49" t="s">
        <v>12</v>
      </c>
    </row>
    <row r="50" spans="1:5" x14ac:dyDescent="0.3">
      <c r="A50" t="s">
        <v>46</v>
      </c>
      <c r="B50" t="s">
        <v>9</v>
      </c>
      <c r="C50">
        <v>68.180000000000007</v>
      </c>
      <c r="D50">
        <v>88.03</v>
      </c>
      <c r="E50" t="s">
        <v>12</v>
      </c>
    </row>
    <row r="51" spans="1:5" x14ac:dyDescent="0.3">
      <c r="A51" t="s">
        <v>47</v>
      </c>
      <c r="B51" t="s">
        <v>9</v>
      </c>
      <c r="C51">
        <v>65.87</v>
      </c>
      <c r="D51">
        <v>78.52</v>
      </c>
      <c r="E51" t="s">
        <v>10</v>
      </c>
    </row>
    <row r="52" spans="1:5" x14ac:dyDescent="0.3">
      <c r="A52" t="s">
        <v>48</v>
      </c>
      <c r="B52" t="s">
        <v>9</v>
      </c>
      <c r="C52">
        <v>78.239999999999995</v>
      </c>
      <c r="D52">
        <v>75.98</v>
      </c>
      <c r="E52" t="s">
        <v>12</v>
      </c>
    </row>
    <row r="53" spans="1:5" x14ac:dyDescent="0.3">
      <c r="A53" t="s">
        <v>49</v>
      </c>
      <c r="B53" t="s">
        <v>9</v>
      </c>
      <c r="C53">
        <v>55.93</v>
      </c>
      <c r="D53">
        <v>76.08</v>
      </c>
      <c r="E53" t="s">
        <v>10</v>
      </c>
    </row>
    <row r="54" spans="1:5" x14ac:dyDescent="0.3">
      <c r="A54" t="s">
        <v>50</v>
      </c>
      <c r="B54" t="s">
        <v>9</v>
      </c>
      <c r="C54">
        <v>69.61</v>
      </c>
      <c r="D54">
        <v>71.91</v>
      </c>
      <c r="E54" t="s">
        <v>12</v>
      </c>
    </row>
    <row r="55" spans="1:5" x14ac:dyDescent="0.3">
      <c r="A55" t="s">
        <v>51</v>
      </c>
      <c r="B55" t="s">
        <v>9</v>
      </c>
      <c r="C55">
        <v>58.66</v>
      </c>
      <c r="D55">
        <v>76.25</v>
      </c>
      <c r="E55" t="s">
        <v>12</v>
      </c>
    </row>
    <row r="56" spans="1:5" x14ac:dyDescent="0.3">
      <c r="A56" t="s">
        <v>52</v>
      </c>
      <c r="B56" t="s">
        <v>9</v>
      </c>
      <c r="C56">
        <v>56.35</v>
      </c>
      <c r="D56">
        <v>76.45</v>
      </c>
      <c r="E56" t="s">
        <v>10</v>
      </c>
    </row>
    <row r="57" spans="1:5" x14ac:dyDescent="0.3">
      <c r="A57" t="s">
        <v>53</v>
      </c>
      <c r="B57" t="s">
        <v>9</v>
      </c>
      <c r="C57">
        <v>50.62</v>
      </c>
      <c r="D57">
        <v>70.66</v>
      </c>
      <c r="E57" t="s">
        <v>7</v>
      </c>
    </row>
    <row r="58" spans="1:5" x14ac:dyDescent="0.3">
      <c r="A58" t="s">
        <v>54</v>
      </c>
      <c r="B58" t="s">
        <v>9</v>
      </c>
      <c r="C58">
        <v>63.26</v>
      </c>
      <c r="D58">
        <v>79.19</v>
      </c>
      <c r="E58" t="s">
        <v>10</v>
      </c>
    </row>
    <row r="59" spans="1:5" x14ac:dyDescent="0.3">
      <c r="A59" t="s">
        <v>56</v>
      </c>
      <c r="B59" t="s">
        <v>9</v>
      </c>
      <c r="C59">
        <v>65.08</v>
      </c>
      <c r="D59">
        <v>82.51</v>
      </c>
      <c r="E59" t="s">
        <v>7</v>
      </c>
    </row>
    <row r="60" spans="1:5" x14ac:dyDescent="0.3">
      <c r="A60" t="s">
        <v>58</v>
      </c>
      <c r="B60" t="s">
        <v>9</v>
      </c>
      <c r="C60">
        <v>60.31</v>
      </c>
      <c r="D60">
        <v>73.25</v>
      </c>
      <c r="E60" t="s">
        <v>10</v>
      </c>
    </row>
    <row r="61" spans="1:5" x14ac:dyDescent="0.3">
      <c r="A61" t="s">
        <v>60</v>
      </c>
      <c r="B61" t="s">
        <v>9</v>
      </c>
      <c r="C61">
        <v>59.15</v>
      </c>
      <c r="D61">
        <v>85.64</v>
      </c>
      <c r="E61" t="s">
        <v>7</v>
      </c>
    </row>
    <row r="62" spans="1:5" x14ac:dyDescent="0.3">
      <c r="A62" t="s">
        <v>61</v>
      </c>
      <c r="B62" t="s">
        <v>9</v>
      </c>
      <c r="C62">
        <v>71.16</v>
      </c>
      <c r="D62">
        <v>94.39</v>
      </c>
      <c r="E62" t="s">
        <v>10</v>
      </c>
    </row>
    <row r="63" spans="1:5" x14ac:dyDescent="0.3">
      <c r="A63" t="s">
        <v>62</v>
      </c>
      <c r="B63" t="s">
        <v>9</v>
      </c>
      <c r="C63">
        <v>53.59</v>
      </c>
      <c r="D63">
        <v>79.260000000000005</v>
      </c>
      <c r="E63" t="s">
        <v>12</v>
      </c>
    </row>
    <row r="64" spans="1:5" x14ac:dyDescent="0.3">
      <c r="A64" t="s">
        <v>63</v>
      </c>
      <c r="B64" t="s">
        <v>9</v>
      </c>
      <c r="C64">
        <v>57.98</v>
      </c>
      <c r="D64">
        <v>77.209999999999994</v>
      </c>
      <c r="E64" t="s">
        <v>7</v>
      </c>
    </row>
    <row r="65" spans="1:5" x14ac:dyDescent="0.3">
      <c r="A65" t="s">
        <v>64</v>
      </c>
      <c r="B65" t="s">
        <v>9</v>
      </c>
      <c r="C65">
        <v>58.47</v>
      </c>
      <c r="D65">
        <v>65.27</v>
      </c>
      <c r="E65" t="s">
        <v>12</v>
      </c>
    </row>
    <row r="66" spans="1:5" x14ac:dyDescent="0.3">
      <c r="A66" t="s">
        <v>65</v>
      </c>
      <c r="B66" t="s">
        <v>9</v>
      </c>
      <c r="C66">
        <v>74.33</v>
      </c>
      <c r="D66">
        <v>69.45</v>
      </c>
      <c r="E66" t="s">
        <v>12</v>
      </c>
    </row>
    <row r="67" spans="1:5" x14ac:dyDescent="0.3">
      <c r="A67" t="s">
        <v>66</v>
      </c>
      <c r="B67" t="s">
        <v>9</v>
      </c>
      <c r="C67">
        <v>60.15</v>
      </c>
      <c r="D67">
        <v>79.010000000000005</v>
      </c>
      <c r="E67" t="s">
        <v>12</v>
      </c>
    </row>
    <row r="68" spans="1:5" x14ac:dyDescent="0.3">
      <c r="A68" t="s">
        <v>68</v>
      </c>
      <c r="B68" t="s">
        <v>9</v>
      </c>
      <c r="C68">
        <v>60.38</v>
      </c>
      <c r="D68">
        <v>79.52</v>
      </c>
      <c r="E68" t="s">
        <v>12</v>
      </c>
    </row>
    <row r="69" spans="1:5" x14ac:dyDescent="0.3">
      <c r="A69" t="s">
        <v>69</v>
      </c>
      <c r="B69" t="s">
        <v>9</v>
      </c>
      <c r="C69">
        <v>60.52</v>
      </c>
      <c r="D69">
        <v>81.17</v>
      </c>
      <c r="E69" t="s">
        <v>12</v>
      </c>
    </row>
    <row r="70" spans="1:5" x14ac:dyDescent="0.3">
      <c r="A70" t="s">
        <v>70</v>
      </c>
      <c r="B70" t="s">
        <v>9</v>
      </c>
      <c r="C70">
        <v>60.08</v>
      </c>
      <c r="D70">
        <v>85.1</v>
      </c>
      <c r="E70" t="s">
        <v>7</v>
      </c>
    </row>
    <row r="71" spans="1:5" x14ac:dyDescent="0.3">
      <c r="A71" t="s">
        <v>71</v>
      </c>
      <c r="B71" t="s">
        <v>9</v>
      </c>
      <c r="C71">
        <v>60.93</v>
      </c>
      <c r="D71">
        <v>75.61</v>
      </c>
      <c r="E71" t="s">
        <v>10</v>
      </c>
    </row>
    <row r="72" spans="1:5" x14ac:dyDescent="0.3">
      <c r="A72" t="s">
        <v>73</v>
      </c>
      <c r="B72" t="s">
        <v>9</v>
      </c>
      <c r="C72">
        <v>70.260000000000005</v>
      </c>
      <c r="D72">
        <v>93.12</v>
      </c>
      <c r="E72" t="s">
        <v>12</v>
      </c>
    </row>
    <row r="73" spans="1:5" x14ac:dyDescent="0.3">
      <c r="A73" t="s">
        <v>75</v>
      </c>
      <c r="B73" t="s">
        <v>9</v>
      </c>
      <c r="C73">
        <v>51.99</v>
      </c>
      <c r="D73">
        <v>73.989999999999995</v>
      </c>
      <c r="E73" t="s">
        <v>10</v>
      </c>
    </row>
    <row r="74" spans="1:5" x14ac:dyDescent="0.3">
      <c r="A74" t="s">
        <v>78</v>
      </c>
      <c r="B74" t="s">
        <v>9</v>
      </c>
      <c r="C74">
        <v>51.74</v>
      </c>
      <c r="D74">
        <v>77.78</v>
      </c>
      <c r="E74" t="s">
        <v>12</v>
      </c>
    </row>
    <row r="75" spans="1:5" x14ac:dyDescent="0.3">
      <c r="A75" t="s">
        <v>79</v>
      </c>
      <c r="B75" t="s">
        <v>9</v>
      </c>
      <c r="C75">
        <v>62.43</v>
      </c>
      <c r="D75">
        <v>78.489999999999995</v>
      </c>
      <c r="E75" t="s">
        <v>12</v>
      </c>
    </row>
    <row r="76" spans="1:5" x14ac:dyDescent="0.3">
      <c r="A76" t="s">
        <v>80</v>
      </c>
      <c r="B76" t="s">
        <v>9</v>
      </c>
      <c r="C76">
        <v>59.79</v>
      </c>
      <c r="D76">
        <v>71.989999999999995</v>
      </c>
      <c r="E76" t="s">
        <v>12</v>
      </c>
    </row>
    <row r="77" spans="1:5" x14ac:dyDescent="0.3">
      <c r="A77" t="s">
        <v>81</v>
      </c>
      <c r="B77" t="s">
        <v>9</v>
      </c>
      <c r="C77">
        <v>64.39</v>
      </c>
      <c r="D77">
        <v>80.180000000000007</v>
      </c>
      <c r="E77" t="s">
        <v>10</v>
      </c>
    </row>
    <row r="78" spans="1:5" x14ac:dyDescent="0.3">
      <c r="A78" t="s">
        <v>82</v>
      </c>
      <c r="B78" t="s">
        <v>9</v>
      </c>
      <c r="C78">
        <v>68.790000000000006</v>
      </c>
      <c r="D78">
        <v>74.59</v>
      </c>
      <c r="E78" t="s">
        <v>12</v>
      </c>
    </row>
    <row r="79" spans="1:5" x14ac:dyDescent="0.3">
      <c r="A79" t="s">
        <v>83</v>
      </c>
      <c r="B79" t="s">
        <v>9</v>
      </c>
      <c r="C79">
        <v>60.08</v>
      </c>
      <c r="D79">
        <v>86.44</v>
      </c>
      <c r="E79" t="s">
        <v>12</v>
      </c>
    </row>
    <row r="80" spans="1:5" x14ac:dyDescent="0.3">
      <c r="A80" t="s">
        <v>84</v>
      </c>
      <c r="B80" t="s">
        <v>9</v>
      </c>
      <c r="C80">
        <v>60.68</v>
      </c>
      <c r="D80">
        <v>72.84</v>
      </c>
      <c r="E80" t="s">
        <v>12</v>
      </c>
    </row>
    <row r="81" spans="1:5" x14ac:dyDescent="0.3">
      <c r="A81" t="s">
        <v>85</v>
      </c>
      <c r="B81" t="s">
        <v>9</v>
      </c>
      <c r="C81">
        <v>49.95</v>
      </c>
      <c r="D81">
        <v>71.52</v>
      </c>
      <c r="E81" t="s">
        <v>12</v>
      </c>
    </row>
    <row r="82" spans="1:5" x14ac:dyDescent="0.3">
      <c r="A82" t="s">
        <v>86</v>
      </c>
      <c r="B82" t="s">
        <v>9</v>
      </c>
      <c r="C82">
        <v>62.28</v>
      </c>
      <c r="D82">
        <v>75.62</v>
      </c>
      <c r="E82" t="s">
        <v>10</v>
      </c>
    </row>
    <row r="83" spans="1:5" x14ac:dyDescent="0.3">
      <c r="A83" t="s">
        <v>87</v>
      </c>
      <c r="B83" t="s">
        <v>9</v>
      </c>
      <c r="C83">
        <v>56.96</v>
      </c>
      <c r="D83">
        <v>88.86</v>
      </c>
      <c r="E83" t="s">
        <v>12</v>
      </c>
    </row>
    <row r="84" spans="1:5" x14ac:dyDescent="0.3">
      <c r="A84" t="s">
        <v>88</v>
      </c>
      <c r="B84" t="s">
        <v>9</v>
      </c>
      <c r="C84">
        <v>70.95</v>
      </c>
      <c r="D84">
        <v>71.8</v>
      </c>
      <c r="E84" t="s">
        <v>10</v>
      </c>
    </row>
    <row r="85" spans="1:5" x14ac:dyDescent="0.3">
      <c r="A85" t="s">
        <v>92</v>
      </c>
      <c r="B85" t="s">
        <v>9</v>
      </c>
      <c r="C85">
        <v>61.2</v>
      </c>
      <c r="D85">
        <v>81.13</v>
      </c>
      <c r="E85" t="s">
        <v>10</v>
      </c>
    </row>
    <row r="86" spans="1:5" x14ac:dyDescent="0.3">
      <c r="A86" t="s">
        <v>93</v>
      </c>
      <c r="B86" t="s">
        <v>9</v>
      </c>
      <c r="C86">
        <v>67.45</v>
      </c>
      <c r="D86">
        <v>81.34</v>
      </c>
      <c r="E86" t="s">
        <v>7</v>
      </c>
    </row>
    <row r="87" spans="1:5" x14ac:dyDescent="0.3">
      <c r="A87" t="s">
        <v>95</v>
      </c>
      <c r="B87" t="s">
        <v>9</v>
      </c>
      <c r="C87">
        <v>60.8</v>
      </c>
      <c r="D87">
        <v>83.95</v>
      </c>
      <c r="E87" t="s">
        <v>12</v>
      </c>
    </row>
    <row r="88" spans="1:5" x14ac:dyDescent="0.3">
      <c r="A88" t="s">
        <v>96</v>
      </c>
      <c r="B88" t="s">
        <v>9</v>
      </c>
      <c r="C88">
        <v>48.7</v>
      </c>
      <c r="D88">
        <v>71.91</v>
      </c>
      <c r="E88" t="s">
        <v>12</v>
      </c>
    </row>
    <row r="89" spans="1:5" x14ac:dyDescent="0.3">
      <c r="A89" t="s">
        <v>97</v>
      </c>
      <c r="B89" t="s">
        <v>9</v>
      </c>
      <c r="C89">
        <v>65.73</v>
      </c>
      <c r="D89">
        <v>88.45</v>
      </c>
      <c r="E89" t="s">
        <v>7</v>
      </c>
    </row>
    <row r="90" spans="1:5" x14ac:dyDescent="0.3">
      <c r="A90" t="s">
        <v>98</v>
      </c>
      <c r="B90" t="s">
        <v>9</v>
      </c>
      <c r="C90">
        <v>68.569999999999993</v>
      </c>
      <c r="D90">
        <v>95.2</v>
      </c>
      <c r="E90" t="s">
        <v>12</v>
      </c>
    </row>
    <row r="91" spans="1:5" x14ac:dyDescent="0.3">
      <c r="A91" t="s">
        <v>99</v>
      </c>
      <c r="B91" t="s">
        <v>9</v>
      </c>
      <c r="C91">
        <v>73.400000000000006</v>
      </c>
      <c r="D91">
        <v>95.31</v>
      </c>
      <c r="E91" t="s">
        <v>10</v>
      </c>
    </row>
    <row r="92" spans="1:5" x14ac:dyDescent="0.3">
      <c r="A92" t="s">
        <v>100</v>
      </c>
      <c r="B92" t="s">
        <v>9</v>
      </c>
      <c r="C92">
        <v>66.78</v>
      </c>
      <c r="D92">
        <v>85.58</v>
      </c>
      <c r="E92" t="s">
        <v>10</v>
      </c>
    </row>
    <row r="93" spans="1:5" x14ac:dyDescent="0.3">
      <c r="A93" t="s">
        <v>101</v>
      </c>
      <c r="B93" t="s">
        <v>9</v>
      </c>
      <c r="C93">
        <v>58.49</v>
      </c>
      <c r="D93">
        <v>87.53</v>
      </c>
      <c r="E93" t="s">
        <v>10</v>
      </c>
    </row>
    <row r="94" spans="1:5" x14ac:dyDescent="0.3">
      <c r="A94" t="s">
        <v>102</v>
      </c>
      <c r="B94" t="s">
        <v>9</v>
      </c>
      <c r="C94">
        <v>64.819999999999993</v>
      </c>
      <c r="D94">
        <v>86.07</v>
      </c>
      <c r="E94" t="s">
        <v>10</v>
      </c>
    </row>
    <row r="95" spans="1:5" x14ac:dyDescent="0.3">
      <c r="A95" t="s">
        <v>103</v>
      </c>
      <c r="B95" t="s">
        <v>9</v>
      </c>
      <c r="C95">
        <v>62.72</v>
      </c>
      <c r="D95">
        <v>80.25</v>
      </c>
      <c r="E95" t="s">
        <v>10</v>
      </c>
    </row>
    <row r="96" spans="1:5" x14ac:dyDescent="0.3">
      <c r="A96" t="s">
        <v>104</v>
      </c>
      <c r="B96" t="s">
        <v>9</v>
      </c>
      <c r="C96">
        <v>68.64</v>
      </c>
      <c r="D96">
        <v>93.89</v>
      </c>
      <c r="E96" t="s">
        <v>10</v>
      </c>
    </row>
    <row r="97" spans="1:5" x14ac:dyDescent="0.3">
      <c r="A97" t="s">
        <v>105</v>
      </c>
      <c r="B97" t="s">
        <v>9</v>
      </c>
      <c r="C97">
        <v>65.59</v>
      </c>
      <c r="D97">
        <v>82.65</v>
      </c>
      <c r="E97" t="s">
        <v>12</v>
      </c>
    </row>
    <row r="98" spans="1:5" x14ac:dyDescent="0.3">
      <c r="A98" t="s">
        <v>106</v>
      </c>
      <c r="B98" t="s">
        <v>9</v>
      </c>
      <c r="C98">
        <v>61.54</v>
      </c>
      <c r="D98">
        <v>77.33</v>
      </c>
      <c r="E98" t="s">
        <v>10</v>
      </c>
    </row>
    <row r="100" spans="1:5" x14ac:dyDescent="0.3">
      <c r="A100" t="s">
        <v>117</v>
      </c>
    </row>
  </sheetData>
  <sortState xmlns:xlrd2="http://schemas.microsoft.com/office/spreadsheetml/2017/richdata2" ref="A2:E98">
    <sortCondition ref="B2:B98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G12" sqref="G12"/>
    </sheetView>
  </sheetViews>
  <sheetFormatPr defaultColWidth="8.77734375" defaultRowHeight="14.4" x14ac:dyDescent="0.3"/>
  <sheetData>
    <row r="1" spans="1:7" x14ac:dyDescent="0.3">
      <c r="A1" s="1"/>
      <c r="B1" s="5" t="s">
        <v>107</v>
      </c>
      <c r="C1" s="6"/>
      <c r="D1" s="5" t="s">
        <v>108</v>
      </c>
      <c r="E1" s="6"/>
      <c r="F1" s="5" t="s">
        <v>109</v>
      </c>
      <c r="G1" s="6"/>
    </row>
    <row r="2" spans="1:7" x14ac:dyDescent="0.3">
      <c r="A2" s="1"/>
      <c r="B2" s="1" t="s">
        <v>3</v>
      </c>
      <c r="C2" s="1" t="s">
        <v>2</v>
      </c>
      <c r="D2" s="1" t="s">
        <v>3</v>
      </c>
      <c r="E2" s="1" t="s">
        <v>2</v>
      </c>
      <c r="F2" s="1" t="s">
        <v>3</v>
      </c>
      <c r="G2" s="1" t="s">
        <v>2</v>
      </c>
    </row>
    <row r="3" spans="1:7" x14ac:dyDescent="0.3">
      <c r="A3" s="1" t="s">
        <v>1</v>
      </c>
    </row>
    <row r="4" spans="1:7" x14ac:dyDescent="0.3">
      <c r="A4" s="1" t="s">
        <v>6</v>
      </c>
      <c r="B4">
        <f>COUNTIF(Raw_Data!B2:B98,A4)</f>
        <v>20</v>
      </c>
      <c r="C4">
        <f>COUNTIF(Raw_Data!B2:B98,A4)</f>
        <v>20</v>
      </c>
      <c r="D4">
        <f>MEDIAN(Raw_Data!C2:C21)</f>
        <v>63.75</v>
      </c>
      <c r="E4">
        <f>MEDIAN(Raw_Data!D2:D21)</f>
        <v>82.664999999999992</v>
      </c>
      <c r="F4">
        <f>STDEV(Raw_Data!C2:C21)</f>
        <v>6.9723009114637096</v>
      </c>
      <c r="G4">
        <f>STDEV(Raw_Data!D2:D21)</f>
        <v>8.6905806692315899</v>
      </c>
    </row>
    <row r="5" spans="1:7" x14ac:dyDescent="0.3">
      <c r="A5" s="1" t="s">
        <v>9</v>
      </c>
      <c r="B5">
        <f>COUNTIF(Raw_Data!B3:B99,A5)</f>
        <v>77</v>
      </c>
      <c r="C5">
        <f>COUNTIF(Raw_Data!B3:B99,A5)</f>
        <v>77</v>
      </c>
      <c r="D5">
        <f>MEDIAN(Raw_Data!C22:C98)</f>
        <v>62.28</v>
      </c>
      <c r="E5">
        <f>MEDIAN(Raw_Data!D22:D98)</f>
        <v>78.900000000000006</v>
      </c>
      <c r="F5">
        <f>STDEV(Raw_Data!C22:C98)</f>
        <v>6.8581570842274981</v>
      </c>
      <c r="G5">
        <f>STDEV(Raw_Data!D22:D98)</f>
        <v>6.7974411951184726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G10" sqref="G10"/>
    </sheetView>
  </sheetViews>
  <sheetFormatPr defaultColWidth="8.77734375" defaultRowHeight="14.4" x14ac:dyDescent="0.3"/>
  <cols>
    <col min="1" max="1" width="20" bestFit="1" customWidth="1"/>
    <col min="2" max="2" width="18.5546875" bestFit="1" customWidth="1"/>
  </cols>
  <sheetData>
    <row r="1" spans="1:2" x14ac:dyDescent="0.3">
      <c r="A1" t="s">
        <v>4</v>
      </c>
      <c r="B1" t="s">
        <v>110</v>
      </c>
    </row>
    <row r="2" spans="1:2" x14ac:dyDescent="0.3">
      <c r="A2" s="3" t="s">
        <v>10</v>
      </c>
      <c r="B2" cm="1">
        <f t="array" ref="B2">SUMPRODUCT(--(TRIM(Raw_Data!E2:E98)="&lt; 2 hours"))</f>
        <v>36</v>
      </c>
    </row>
    <row r="3" spans="1:2" x14ac:dyDescent="0.3">
      <c r="A3" t="s">
        <v>12</v>
      </c>
      <c r="B3" cm="1">
        <f t="array" ref="B3">SUMPRODUCT(--(TRIM(Raw_Data!E2:E98)="2–4 hours"))</f>
        <v>48</v>
      </c>
    </row>
    <row r="4" spans="1:2" x14ac:dyDescent="0.3">
      <c r="A4" t="s">
        <v>7</v>
      </c>
      <c r="B4" cm="1">
        <f t="array" ref="B4">SUMPRODUCT(--(TRIM(Raw_Data!E2:E98)="&gt; 4 hours"))</f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selection activeCell="E25" sqref="E25"/>
    </sheetView>
  </sheetViews>
  <sheetFormatPr defaultColWidth="8.77734375" defaultRowHeight="14.4" x14ac:dyDescent="0.3"/>
  <cols>
    <col min="1" max="1" width="10.44140625" bestFit="1" customWidth="1"/>
  </cols>
  <sheetData>
    <row r="1" spans="1:6" x14ac:dyDescent="0.3">
      <c r="A1" s="2" t="s">
        <v>111</v>
      </c>
      <c r="B1" s="2" t="s">
        <v>112</v>
      </c>
      <c r="C1" s="2" t="s">
        <v>113</v>
      </c>
      <c r="D1" s="2" t="s">
        <v>114</v>
      </c>
    </row>
    <row r="2" spans="1:6" x14ac:dyDescent="0.3">
      <c r="A2" t="s">
        <v>115</v>
      </c>
      <c r="B2">
        <f>COUNT(Raw_Data!C2:C98)</f>
        <v>97</v>
      </c>
      <c r="C2">
        <f>AVERAGE(Raw_Data!C2:C98)</f>
        <v>63.04567010309276</v>
      </c>
      <c r="D2">
        <f>STDEV(Raw_Data!C2:C98)</f>
        <v>6.8592800440988722</v>
      </c>
      <c r="F2" t="s">
        <v>118</v>
      </c>
    </row>
    <row r="3" spans="1:6" x14ac:dyDescent="0.3">
      <c r="A3" t="s">
        <v>116</v>
      </c>
      <c r="B3">
        <f>COUNT(Raw_Data!D2:D98)</f>
        <v>97</v>
      </c>
      <c r="C3">
        <f>AVERAGE(Raw_Data!D2:D98)</f>
        <v>80.225360824742268</v>
      </c>
      <c r="D3">
        <f>STDEV(Raw_Data!D2:D98)</f>
        <v>7.2053069362472453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Pivot_By_Sex</vt:lpstr>
      <vt:lpstr>Access_Time_Summary</vt:lpstr>
      <vt:lpstr>Assessment_Statistics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2026-02-28T02:55:01Z</dcterms:created>
  <dcterms:modified xsi:type="dcterms:W3CDTF">2026-03-27T09:32:29Z</dcterms:modified>
</cp:coreProperties>
</file>